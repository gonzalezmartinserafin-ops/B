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AnEIjIs1zUvtuMbtjtUkm6p6mXoAyzru0ypNd98cao="/>
    </ext>
  </extLst>
</workbook>
</file>

<file path=xl/sharedStrings.xml><?xml version="1.0" encoding="utf-8"?>
<sst xmlns="http://schemas.openxmlformats.org/spreadsheetml/2006/main" count="38" uniqueCount="38">
  <si>
    <t>Tabla de presupuesto del Cibercafe</t>
  </si>
  <si>
    <t>Producto</t>
  </si>
  <si>
    <t>Cantidad</t>
  </si>
  <si>
    <t>Precio</t>
  </si>
  <si>
    <t>Enlace</t>
  </si>
  <si>
    <t>Total</t>
  </si>
  <si>
    <t>Ordenadores, Monitor, pack teclado y raton</t>
  </si>
  <si>
    <r>
      <rPr>
        <color rgb="FF1155CC"/>
        <u/>
      </rPr>
      <t>Ordenador Sobremesa PC Racing Cosmo Pack Gaming PC Intel Core i5-10400F/16GB/1TB SSD/RTX 3050 + Pant | PcComponentes.com</t>
    </r>
  </si>
  <si>
    <t>Ordenador potente</t>
  </si>
  <si>
    <t>https://www.pccomponentes.com/configurador/F6Be25D72</t>
  </si>
  <si>
    <t>SAI</t>
  </si>
  <si>
    <t>Salicru SPS One 1500VA V2 SAI | Oferta Black Friday</t>
  </si>
  <si>
    <t>Rj45</t>
  </si>
  <si>
    <t>PcCom Essential Bobina Cable de Red RJ45 Cat6 UTP CCA AWG24 hasta Mbps 100m | PcComponentes.com</t>
  </si>
  <si>
    <t>Cable corriente</t>
  </si>
  <si>
    <t>Cable LEXMAN H07V-K 100 metros 2,5 mm² color amarillo/verde</t>
  </si>
  <si>
    <t>Router</t>
  </si>
  <si>
    <t>Acer Predator Connect W6x Router WiFi 6 Doble Banda AX6000 MU-MIMO 4x4 | Oferta Black Friday</t>
  </si>
  <si>
    <t>Canaletas</t>
  </si>
  <si>
    <t>(5,30 Eur/M) 10 m Cable Canal 100 x 60 mm PVC Color Blanco</t>
  </si>
  <si>
    <t>Roseta</t>
  </si>
  <si>
    <t>Nanocable Roseta de Superficie 1x RJ45 Cat. 5e FTP Blanca | PcComponentes.com</t>
  </si>
  <si>
    <t>Caja de empalme</t>
  </si>
  <si>
    <t>Caja de conexión estanca IP55 cuadrada 100x100x mm | Leroy Merlin</t>
  </si>
  <si>
    <t>Switch</t>
  </si>
  <si>
    <r>
      <rPr>
        <color rgb="FF1155CC"/>
        <u/>
      </rPr>
      <t>TP-Link TL- SG1016D Switch 16 Puertos Gigabit 10/100/1000 | PcComponentes.com</t>
    </r>
  </si>
  <si>
    <t>Ps5</t>
  </si>
  <si>
    <r>
      <rPr>
        <color rgb="FF1155CC"/>
        <u/>
      </rPr>
      <t>Sony PlayStation 5 Slim Chasis E | Oferta Black Friday</t>
    </r>
  </si>
  <si>
    <t>Volante Ps5</t>
  </si>
  <si>
    <r>
      <rPr>
        <color rgb="FF1155CC"/>
        <u/>
      </rPr>
      <t>Logitech G923 Volante y Pedales para PS4/PS5/PC Compatible con F1 23 &amp; Gran Turismo 7 | Oferta Black Friday</t>
    </r>
  </si>
  <si>
    <t>Cableado Cat6a</t>
  </si>
  <si>
    <t>DIGITUS 100 m de Cable de red Cat 6A, U-FTP (PiMF) Simplex, BauPVO Eca, LSZH Libre de Halógenos, 500 MHz Copper AWG 23/1, Compatible con PoE+, Cable LAN Cable Ethernet, Azul</t>
  </si>
  <si>
    <t>Impresora</t>
  </si>
  <si>
    <r>
      <rPr>
        <color rgb="FF1155CC"/>
        <u/>
      </rPr>
      <t>HP Color LaserJet Pro 4202dn Impresora Láser Color Dúplex | PcComponentes.com</t>
    </r>
  </si>
  <si>
    <t>Pantalla para PS5</t>
  </si>
  <si>
    <r>
      <rPr>
        <color rgb="FF1155CC"/>
        <u/>
      </rPr>
      <t>TV Samsung TU43U7005FK 43" 4K UHD LED Tizen HDR10+ WiFi Bluetooth Negro | PcComponentes.com</t>
    </r>
  </si>
  <si>
    <t>Total:</t>
  </si>
  <si>
    <t>Total sin iva: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</si>
</sst>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\ &quot;€&quot;_-;\-* #,##0.00\ &quot;€&quot;_-;_-* &quot;-&quot;??\ &quot;€&quot;_-;_-@"/>
  </numFmts>
  <fonts count="14">
    <font>
      <sz val="11.0"/>
      <color theme="1"/>
      <name val="Aptos Narrow"/>
      <scheme val="minor"/>
    </font>
    <font>
      <b/>
      <sz val="11.0"/>
      <color theme="1"/>
      <name val="Arial"/>
    </font>
    <font/>
    <font>
      <b/>
      <sz val="11.0"/>
      <color theme="1"/>
      <name val="Aptos Narrow"/>
    </font>
    <font>
      <sz val="11.0"/>
      <color theme="1"/>
      <name val="Arial"/>
    </font>
    <font>
      <u/>
      <color rgb="FF0000FF"/>
    </font>
    <font>
      <sz val="11.0"/>
      <color theme="1"/>
      <name val="Aptos Narrow"/>
    </font>
    <font>
      <color theme="1"/>
      <name val="Arial"/>
    </font>
    <font>
      <u/>
      <sz val="11.0"/>
      <color theme="10"/>
      <name val="Aptos Narrow"/>
    </font>
    <font>
      <u/>
      <sz val="11.0"/>
      <color theme="10"/>
      <name val="Aptos Narrow"/>
    </font>
    <font>
      <u/>
      <color rgb="FF467886"/>
      <name val="Arial"/>
    </font>
    <font>
      <u/>
      <sz val="11.0"/>
      <color theme="1"/>
      <name val="Aptos Narrow"/>
    </font>
    <font>
      <u/>
      <color rgb="FF0000FF"/>
      <name val="Arial"/>
    </font>
    <font>
      <sz val="11.0"/>
      <color rgb="FFFF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Border="1" applyFont="1"/>
    <xf borderId="4" fillId="0" fontId="1" numFmtId="0" xfId="0" applyAlignment="1" applyBorder="1" applyFont="1">
      <alignment readingOrder="0"/>
    </xf>
    <xf borderId="4" fillId="0" fontId="4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4" fillId="0" fontId="6" numFmtId="164" xfId="0" applyBorder="1" applyFont="1" applyNumberFormat="1"/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4" fillId="0" fontId="6" numFmtId="0" xfId="0" applyBorder="1" applyFont="1"/>
    <xf borderId="0" fillId="0" fontId="9" numFmtId="0" xfId="0" applyFont="1"/>
    <xf borderId="0" fillId="2" fontId="10" numFmtId="0" xfId="0" applyAlignment="1" applyFill="1" applyFont="1">
      <alignment readingOrder="0"/>
    </xf>
    <xf borderId="4" fillId="0" fontId="11" numFmtId="0" xfId="0" applyBorder="1" applyFont="1"/>
    <xf borderId="0" fillId="2" fontId="12" numFmtId="0" xfId="0" applyAlignment="1" applyFont="1">
      <alignment readingOrder="0"/>
    </xf>
    <xf borderId="4" fillId="0" fontId="1" numFmtId="0" xfId="0" applyAlignment="1" applyBorder="1" applyFont="1">
      <alignment horizontal="right" readingOrder="0"/>
    </xf>
    <xf borderId="4" fillId="0" fontId="13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ccomponentes.com/sony-playstation-5-slim-chasis-e" TargetMode="External"/><Relationship Id="rId10" Type="http://schemas.openxmlformats.org/officeDocument/2006/relationships/hyperlink" Target="https://www.pccomponentes.com/tp-link-tl-sg1016d-switch-16-puertos-gigabit-10-100-1000" TargetMode="External"/><Relationship Id="rId13" Type="http://schemas.openxmlformats.org/officeDocument/2006/relationships/hyperlink" Target="https://www.amazon.es/DIGITUS-Simplex-Hal%C3%B3genos-Compatible-Ethernet/dp/B00I2EOBBK/ref=sr_1_1_sspa?dib=eyJ2IjoiMSJ9.FjIA3eFoMPy87hQ6X25fns3ZxGy5_NlRStwg8ywIDzlQtpusyp03EMRTCMqbjF2I9E6oy57RQconLgJPAQI_V9hSxNSJNEWlpWAAHxZG7idLOhaAAme0Zwfmj0kTKPxCfaHy4uI0H2CPB8GX20LKXVGj3otDDpLlnlfEpFp6u9YZtaIXZHmYxlLh11nsmN5wVSXkOUWCSXJeD6HF7ru-qlOkNgXSfObusLpN_8vqBbK6NKIQzFUTiinqTnv8jVUENv2sXQGxeD4hE11r4l5g6TWKVIdhgsf5DylLa_OfE0E.QRqyIDh0lCZahAz24adCd1qoOaxhDc7GIgv-ZMQYVaY&amp;dib_tag=se&amp;keywords=cable%2Bcat%2B6a%2B100m&amp;qid=1764156354&amp;sr=8-1-spons&amp;aref=ZfeIF8xxzt&amp;sp_csd=d2lkZ2V0TmFtZT1zcF9hdGY&amp;th=1" TargetMode="External"/><Relationship Id="rId12" Type="http://schemas.openxmlformats.org/officeDocument/2006/relationships/hyperlink" Target="https://www.pccomponentes.com/logitech-g923-volante-y-pedales-para-ps4-ps5-pc-compatible-con-f1-23-gran-turismo-7" TargetMode="External"/><Relationship Id="rId1" Type="http://schemas.openxmlformats.org/officeDocument/2006/relationships/hyperlink" Target="https://www.pccomponentes.com/ordenador-sobremesa-pc-racing-cosmo-pack-gaming-pc-intel-core-i5-10400f-16gb-1tb-ssd-rtx-3050-pantalla-24-fullhd-combo-gaming" TargetMode="External"/><Relationship Id="rId2" Type="http://schemas.openxmlformats.org/officeDocument/2006/relationships/hyperlink" Target="https://www.pccomponentes.com/configurador/F6Be25D72" TargetMode="External"/><Relationship Id="rId3" Type="http://schemas.openxmlformats.org/officeDocument/2006/relationships/hyperlink" Target="https://www.pccomponentes.com/salicru-sps-one-1500va-v2-sai" TargetMode="External"/><Relationship Id="rId4" Type="http://schemas.openxmlformats.org/officeDocument/2006/relationships/hyperlink" Target="https://www.pccomponentes.com/pccom-essential-bobina-cable-de-red-rj45-cat6-utp-cca-awg24-hasta-mbps-100m" TargetMode="External"/><Relationship Id="rId9" Type="http://schemas.openxmlformats.org/officeDocument/2006/relationships/hyperlink" Target="https://www.leroymerlin.es/productos/caja-de-conexion-estanca-ip55-cuadrada-100x100x-mm-82049184.html" TargetMode="External"/><Relationship Id="rId15" Type="http://schemas.openxmlformats.org/officeDocument/2006/relationships/hyperlink" Target="https://www.pccomponentes.com/samsung-tu43u7005fk-43-4k-uhd-led-tizen-hdr10-wifi-bluetooth-negro" TargetMode="External"/><Relationship Id="rId14" Type="http://schemas.openxmlformats.org/officeDocument/2006/relationships/hyperlink" Target="https://www.pccomponentes.com/hp-color-laserjet-pro-4202dn-impresora-laser-color-duplex" TargetMode="External"/><Relationship Id="rId16" Type="http://schemas.openxmlformats.org/officeDocument/2006/relationships/drawing" Target="../drawings/drawing1.xml"/><Relationship Id="rId5" Type="http://schemas.openxmlformats.org/officeDocument/2006/relationships/hyperlink" Target="https://www.leroymerlin.es/productos/cable-lexman-h07v-k-100-metros-2-5-mm2-color-amarillo-verde-19303326.html" TargetMode="External"/><Relationship Id="rId6" Type="http://schemas.openxmlformats.org/officeDocument/2006/relationships/hyperlink" Target="https://www.pccomponentes.com/acer-predator-connect-w6x-router-wifi-6-doble-banda-ax6000-mu-mimo-4x4" TargetMode="External"/><Relationship Id="rId7" Type="http://schemas.openxmlformats.org/officeDocument/2006/relationships/hyperlink" Target="https://www.amazon.es/30-Eur-Cable-Canal-Color-Blanco/dp/B0764C6LXC/ref=sr_1_9?dib=eyJ2IjoiMSJ9.Vnq-e1fXbdQwBtyNKTezOIaPgqHrAyfKGsgamAMehSy2IoLJXB1OqIVmSf63xtMTfcevQCWFd1QyzO_rWja7QsMalsfmagLPAKSRvFA08Gsc5AOlSU8s6v3i0t1S5R30LGMSOCAPEaBfz58FCX_mZMV3NkoGSBbqAS3SIZeMo-ea9KlIvJ348aSOO19xdb127pIGQmvshLuWQIZLNUXlaJpaEO59wjQ7LRCoGv8Fn7GFKkEpFfeGRLsUzTHPxmZvRqdoHcquWDotqjolPc_hgz5tPTJtLUKpP9B9wyPjOBE.IZiIEVz2_1eBXB7PBnOFKLp9jQLegs1wUC9g1N7u_Kk&amp;dib_tag=se&amp;keywords=canaleta+100&amp;qid=1764156585&amp;sr=8-9" TargetMode="External"/><Relationship Id="rId8" Type="http://schemas.openxmlformats.org/officeDocument/2006/relationships/hyperlink" Target="https://www.pccomponentes.com/nanocable-roseta-de-superficie-1x-rj45-cat-5e-ftp-blan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3.13"/>
    <col customWidth="1" min="3" max="3" width="8.38"/>
    <col customWidth="1" min="4" max="4" width="7.5"/>
    <col customWidth="1" min="5" max="5" width="92.75"/>
    <col customWidth="1" min="6" max="6" width="23.13"/>
    <col customWidth="1" min="7" max="26" width="10.63"/>
  </cols>
  <sheetData>
    <row r="1" ht="14.25" customHeight="1"/>
    <row r="2" ht="14.25" customHeight="1"/>
    <row r="3" ht="14.25" customHeight="1">
      <c r="B3" s="1" t="s">
        <v>0</v>
      </c>
      <c r="C3" s="2"/>
      <c r="D3" s="2"/>
      <c r="E3" s="2"/>
      <c r="F3" s="3"/>
    </row>
    <row r="4" ht="14.25" customHeight="1">
      <c r="B4" s="4" t="s">
        <v>1</v>
      </c>
      <c r="C4" s="4" t="s">
        <v>2</v>
      </c>
      <c r="D4" s="4" t="s">
        <v>3</v>
      </c>
      <c r="E4" s="4" t="s">
        <v>4</v>
      </c>
      <c r="F4" s="5" t="s">
        <v>5</v>
      </c>
    </row>
    <row r="5">
      <c r="B5" s="6" t="s">
        <v>6</v>
      </c>
      <c r="C5" s="6">
        <v>10.0</v>
      </c>
      <c r="D5" s="6">
        <v>813.0</v>
      </c>
      <c r="E5" s="7" t="s">
        <v>7</v>
      </c>
      <c r="F5" s="8">
        <f t="shared" ref="F5:F19" si="1">D5 * C5</f>
        <v>8130</v>
      </c>
      <c r="G5" s="9"/>
    </row>
    <row r="6" ht="14.25" customHeight="1">
      <c r="B6" s="6" t="s">
        <v>8</v>
      </c>
      <c r="C6" s="6">
        <v>3.0</v>
      </c>
      <c r="D6" s="6">
        <v>1500.0</v>
      </c>
      <c r="E6" s="10" t="s">
        <v>9</v>
      </c>
      <c r="F6" s="8">
        <f t="shared" si="1"/>
        <v>4500</v>
      </c>
    </row>
    <row r="7" ht="14.25" customHeight="1">
      <c r="B7" s="11" t="s">
        <v>10</v>
      </c>
      <c r="C7" s="6">
        <v>15.0</v>
      </c>
      <c r="D7" s="11">
        <v>140.0</v>
      </c>
      <c r="E7" s="12" t="s">
        <v>11</v>
      </c>
      <c r="F7" s="8">
        <f t="shared" si="1"/>
        <v>2100</v>
      </c>
    </row>
    <row r="8" ht="14.25" customHeight="1">
      <c r="B8" s="11" t="s">
        <v>12</v>
      </c>
      <c r="C8" s="11">
        <v>1.0</v>
      </c>
      <c r="D8" s="11">
        <v>30.0</v>
      </c>
      <c r="E8" s="12" t="s">
        <v>13</v>
      </c>
      <c r="F8" s="8">
        <f t="shared" si="1"/>
        <v>30</v>
      </c>
    </row>
    <row r="9" ht="14.25" customHeight="1">
      <c r="B9" s="11" t="s">
        <v>14</v>
      </c>
      <c r="C9" s="6">
        <v>1.0</v>
      </c>
      <c r="D9" s="11">
        <v>34.38</v>
      </c>
      <c r="E9" s="13" t="s">
        <v>15</v>
      </c>
      <c r="F9" s="8">
        <f t="shared" si="1"/>
        <v>34.38</v>
      </c>
    </row>
    <row r="10" ht="14.25" customHeight="1">
      <c r="B10" s="11" t="s">
        <v>16</v>
      </c>
      <c r="C10" s="11">
        <v>2.0</v>
      </c>
      <c r="D10" s="11">
        <v>60.0</v>
      </c>
      <c r="E10" s="12" t="s">
        <v>17</v>
      </c>
      <c r="F10" s="8">
        <f t="shared" si="1"/>
        <v>120</v>
      </c>
    </row>
    <row r="11" ht="14.25" customHeight="1">
      <c r="B11" s="11" t="s">
        <v>18</v>
      </c>
      <c r="C11" s="6">
        <v>100.0</v>
      </c>
      <c r="D11" s="6">
        <v>5.3</v>
      </c>
      <c r="E11" s="13" t="s">
        <v>19</v>
      </c>
      <c r="F11" s="8">
        <f t="shared" si="1"/>
        <v>530</v>
      </c>
    </row>
    <row r="12" ht="14.25" customHeight="1">
      <c r="B12" s="11" t="s">
        <v>20</v>
      </c>
      <c r="C12" s="11">
        <v>20.0</v>
      </c>
      <c r="D12" s="11">
        <v>9.0</v>
      </c>
      <c r="E12" s="12" t="s">
        <v>21</v>
      </c>
      <c r="F12" s="8">
        <f t="shared" si="1"/>
        <v>180</v>
      </c>
    </row>
    <row r="13" ht="14.25" customHeight="1">
      <c r="B13" s="11" t="s">
        <v>22</v>
      </c>
      <c r="C13" s="11">
        <v>2.0</v>
      </c>
      <c r="D13" s="11">
        <v>2.0</v>
      </c>
      <c r="E13" s="14" t="s">
        <v>23</v>
      </c>
      <c r="F13" s="8">
        <f t="shared" si="1"/>
        <v>4</v>
      </c>
    </row>
    <row r="14" ht="14.25" customHeight="1">
      <c r="B14" s="11" t="s">
        <v>24</v>
      </c>
      <c r="C14" s="11">
        <v>2.0</v>
      </c>
      <c r="D14" s="11">
        <v>58.0</v>
      </c>
      <c r="E14" s="7" t="s">
        <v>25</v>
      </c>
      <c r="F14" s="8">
        <f t="shared" si="1"/>
        <v>116</v>
      </c>
    </row>
    <row r="15" ht="14.25" customHeight="1">
      <c r="B15" s="6" t="s">
        <v>26</v>
      </c>
      <c r="C15" s="6">
        <v>2.0</v>
      </c>
      <c r="D15" s="6">
        <v>449.0</v>
      </c>
      <c r="E15" s="7" t="s">
        <v>27</v>
      </c>
      <c r="F15" s="8">
        <f t="shared" si="1"/>
        <v>898</v>
      </c>
    </row>
    <row r="16" ht="14.25" customHeight="1">
      <c r="B16" s="6" t="s">
        <v>28</v>
      </c>
      <c r="C16" s="6">
        <v>2.0</v>
      </c>
      <c r="D16" s="6">
        <v>229.0</v>
      </c>
      <c r="E16" s="7" t="s">
        <v>29</v>
      </c>
      <c r="F16" s="8">
        <f t="shared" si="1"/>
        <v>458</v>
      </c>
    </row>
    <row r="17" ht="14.25" customHeight="1">
      <c r="B17" s="6" t="s">
        <v>30</v>
      </c>
      <c r="C17" s="6">
        <v>1.0</v>
      </c>
      <c r="D17" s="6">
        <v>88.17</v>
      </c>
      <c r="E17" s="15" t="s">
        <v>31</v>
      </c>
      <c r="F17" s="8">
        <f t="shared" si="1"/>
        <v>88.17</v>
      </c>
    </row>
    <row r="18" ht="14.25" customHeight="1">
      <c r="B18" s="6" t="s">
        <v>32</v>
      </c>
      <c r="C18" s="6">
        <v>2.0</v>
      </c>
      <c r="D18" s="6">
        <v>320.0</v>
      </c>
      <c r="E18" s="7" t="s">
        <v>33</v>
      </c>
      <c r="F18" s="8">
        <f t="shared" si="1"/>
        <v>640</v>
      </c>
    </row>
    <row r="19" ht="14.25" customHeight="1">
      <c r="B19" s="6" t="s">
        <v>34</v>
      </c>
      <c r="C19" s="6">
        <v>2.0</v>
      </c>
      <c r="D19" s="6">
        <v>395.0</v>
      </c>
      <c r="E19" s="7" t="s">
        <v>35</v>
      </c>
      <c r="F19" s="8">
        <f t="shared" si="1"/>
        <v>790</v>
      </c>
    </row>
    <row r="20" ht="14.25" customHeight="1">
      <c r="E20" s="16" t="s">
        <v>36</v>
      </c>
      <c r="F20" s="17">
        <f>SUM(F5:F19)</f>
        <v>18618.55</v>
      </c>
    </row>
    <row r="21" ht="14.25" customHeight="1">
      <c r="E21" s="16" t="s">
        <v>37</v>
      </c>
      <c r="F21" s="17">
        <f>F20/1.21</f>
        <v>15387.2314</v>
      </c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B3:F3"/>
  </mergeCells>
  <hyperlinks>
    <hyperlink r:id="rId1" ref="E5"/>
    <hyperlink r:id="rId2" ref="E6"/>
    <hyperlink r:id="rId3" ref="E7"/>
    <hyperlink r:id="rId4" ref="E8"/>
    <hyperlink r:id="rId5" ref="E9"/>
    <hyperlink r:id="rId6" ref="E10"/>
    <hyperlink r:id="rId7" ref="E11"/>
    <hyperlink r:id="rId8" ref="E12"/>
    <hyperlink r:id="rId9" ref="E13"/>
    <hyperlink r:id="rId10" ref="E14"/>
    <hyperlink r:id="rId11" ref="E15"/>
    <hyperlink r:id="rId12" ref="E16"/>
    <hyperlink r:id="rId13" ref="E17"/>
    <hyperlink r:id="rId14" ref="E18"/>
    <hyperlink r:id="rId15" ref="E19"/>
  </hyperlinks>
  <printOptions/>
  <pageMargins bottom="0.75" footer="0.0" header="0.0" left="0.7" right="0.7" top="0.75"/>
  <pageSetup orientation="landscape"/>
  <drawing r:id="rId1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2025-11-24T07:52:03Z</dcterms:created>
  <dc:creator>ilias benavides moussaoui</dc:creator>
</cp:coreProperties>
</file>